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<sst xmlns="http://schemas.openxmlformats.org/spreadsheetml/2006/main" count="116" uniqueCount="29">
  <si>
    <t>Blue Crystal</t>
  </si>
  <si>
    <t>Sample</t>
  </si>
  <si>
    <t>Measured E</t>
  </si>
  <si>
    <t>Literature E</t>
  </si>
  <si>
    <t>% Error</t>
  </si>
  <si>
    <t>Cs</t>
  </si>
  <si>
    <t>Am 1</t>
  </si>
  <si>
    <t>Am 2</t>
  </si>
  <si>
    <t>Na</t>
  </si>
  <si>
    <t>Blank Crystal</t>
  </si>
  <si>
    <t>Red Crystal</t>
  </si>
  <si>
    <t>Crystal</t>
  </si>
  <si>
    <t>Resolution %</t>
  </si>
  <si>
    <t>Blank</t>
  </si>
  <si>
    <t>Am</t>
  </si>
  <si>
    <t>Blue</t>
  </si>
  <si>
    <t>Red</t>
  </si>
  <si>
    <t>BGO</t>
  </si>
  <si>
    <t>LYSO</t>
  </si>
  <si>
    <t>CsI</t>
  </si>
  <si>
    <t>Decay Time (ns)</t>
  </si>
  <si>
    <t>Light yield (ph./MeV)</t>
  </si>
  <si>
    <t>Peak emission (nm)</t>
  </si>
  <si>
    <t>Radiation length (cm)</t>
  </si>
  <si>
    <t>Refractive index</t>
  </si>
  <si>
    <t>Source</t>
  </si>
  <si>
    <t>Lifetime</t>
  </si>
  <si>
    <t>Light Yield</t>
  </si>
  <si>
    <t>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</si>
</sst>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  <font>
      <color theme="1"/>
      <name val="Arial"/>
    </font>
    <font>
      <sz val="9.0"/>
      <color theme="1"/>
      <name val="Google Sans Mono"/>
    </font>
    <font>
      <sz val="11.0"/>
      <color theme="1"/>
      <name val="CMR1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" numFmtId="2" xfId="0" applyAlignment="1" applyFont="1" applyNumberFormat="1">
      <alignment horizontal="center" readingOrder="0"/>
    </xf>
    <xf borderId="0" fillId="2" fontId="4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</v>
      </c>
      <c r="B3" s="3">
        <v>659.7</v>
      </c>
      <c r="C3" s="3">
        <v>662.0</v>
      </c>
      <c r="D3" s="2">
        <f t="shared" ref="D3:D6" si="1">Round(abs((B3-C3)/C3*100),3)</f>
        <v>0.347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3">
        <v>22.8</v>
      </c>
      <c r="C4" s="3">
        <v>26.3</v>
      </c>
      <c r="D4" s="2">
        <f t="shared" si="1"/>
        <v>13.308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7</v>
      </c>
      <c r="B5" s="3">
        <v>61.1</v>
      </c>
      <c r="C5" s="3">
        <v>59.6</v>
      </c>
      <c r="D5" s="2">
        <f t="shared" si="1"/>
        <v>2.517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3">
        <v>519.7</v>
      </c>
      <c r="C6" s="3">
        <v>511.0</v>
      </c>
      <c r="D6" s="2">
        <f t="shared" si="1"/>
        <v>1.703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</v>
      </c>
      <c r="B9" s="1" t="s">
        <v>2</v>
      </c>
      <c r="C9" s="1" t="s">
        <v>3</v>
      </c>
      <c r="D9" s="1" t="s">
        <v>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</v>
      </c>
      <c r="B10" s="3">
        <v>611.5</v>
      </c>
      <c r="C10" s="3">
        <v>662.0</v>
      </c>
      <c r="D10" s="2">
        <f t="shared" ref="D10:D13" si="2">Round(abs((B10-C10)/C10*100),3)</f>
        <v>7.628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6</v>
      </c>
      <c r="B11" s="3">
        <v>22.3</v>
      </c>
      <c r="C11" s="3">
        <v>26.3</v>
      </c>
      <c r="D11" s="2">
        <f t="shared" si="2"/>
        <v>15.209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7</v>
      </c>
      <c r="B12" s="3">
        <v>57.7</v>
      </c>
      <c r="C12" s="3">
        <v>59.6</v>
      </c>
      <c r="D12" s="2">
        <f t="shared" si="2"/>
        <v>3.188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8</v>
      </c>
      <c r="B13" s="3">
        <v>565.9</v>
      </c>
      <c r="C13" s="3">
        <v>511.0</v>
      </c>
      <c r="D13" s="2">
        <f t="shared" si="2"/>
        <v>10.744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</v>
      </c>
      <c r="B16" s="1" t="s">
        <v>2</v>
      </c>
      <c r="C16" s="1" t="s">
        <v>3</v>
      </c>
      <c r="D16" s="1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</v>
      </c>
      <c r="B17" s="3">
        <v>657.0</v>
      </c>
      <c r="C17" s="3">
        <v>662.0</v>
      </c>
      <c r="D17" s="4">
        <f t="shared" ref="D17:D20" si="3">Round(abs((B17-C17)/C17*100),3)</f>
        <v>0.755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6</v>
      </c>
      <c r="B18" s="3">
        <v>23.8</v>
      </c>
      <c r="C18" s="3">
        <v>26.3</v>
      </c>
      <c r="D18" s="4">
        <f t="shared" si="3"/>
        <v>9.506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7</v>
      </c>
      <c r="B19" s="3">
        <v>65.7</v>
      </c>
      <c r="C19" s="3">
        <v>59.6</v>
      </c>
      <c r="D19" s="4">
        <f t="shared" si="3"/>
        <v>10.235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8</v>
      </c>
      <c r="B20" s="3">
        <v>506.8</v>
      </c>
      <c r="C20" s="3">
        <v>511.0</v>
      </c>
      <c r="D20" s="4">
        <f t="shared" si="3"/>
        <v>0.822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11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12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13</v>
      </c>
      <c r="B24" s="1" t="s">
        <v>5</v>
      </c>
      <c r="C24" s="3">
        <v>611.5</v>
      </c>
      <c r="D24" s="3">
        <v>662.0</v>
      </c>
      <c r="E24" s="5">
        <f t="shared" ref="E24:E32" si="4">Round(abs((C24-D24)/D24*100),3)</f>
        <v>7.628</v>
      </c>
      <c r="F24" s="6">
        <v>13.67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13</v>
      </c>
      <c r="B25" s="1" t="s">
        <v>14</v>
      </c>
      <c r="C25" s="3">
        <v>57.7</v>
      </c>
      <c r="D25" s="3">
        <v>59.6</v>
      </c>
      <c r="E25" s="5">
        <f t="shared" si="4"/>
        <v>3.188</v>
      </c>
      <c r="F25" s="6">
        <v>28.02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13</v>
      </c>
      <c r="B26" s="1" t="s">
        <v>8</v>
      </c>
      <c r="C26" s="3">
        <v>565.9</v>
      </c>
      <c r="D26" s="3">
        <v>511.0</v>
      </c>
      <c r="E26" s="5">
        <f t="shared" si="4"/>
        <v>10.744</v>
      </c>
      <c r="F26" s="6">
        <v>10.2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15</v>
      </c>
      <c r="B27" s="1" t="s">
        <v>5</v>
      </c>
      <c r="C27" s="3">
        <v>659.7</v>
      </c>
      <c r="D27" s="3">
        <v>662.0</v>
      </c>
      <c r="E27" s="5">
        <f t="shared" si="4"/>
        <v>0.347</v>
      </c>
      <c r="F27" s="6">
        <v>12.89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15</v>
      </c>
      <c r="B28" s="1" t="s">
        <v>14</v>
      </c>
      <c r="C28" s="3">
        <v>61.1</v>
      </c>
      <c r="D28" s="3">
        <v>59.6</v>
      </c>
      <c r="E28" s="5">
        <f t="shared" si="4"/>
        <v>2.517</v>
      </c>
      <c r="F28" s="6">
        <v>58.23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15</v>
      </c>
      <c r="B29" s="1" t="s">
        <v>8</v>
      </c>
      <c r="C29" s="3">
        <v>519.7</v>
      </c>
      <c r="D29" s="3">
        <v>511.0</v>
      </c>
      <c r="E29" s="5">
        <f t="shared" si="4"/>
        <v>1.703</v>
      </c>
      <c r="F29" s="6">
        <v>14.26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16</v>
      </c>
      <c r="B30" s="1" t="s">
        <v>5</v>
      </c>
      <c r="C30" s="3">
        <v>657.0</v>
      </c>
      <c r="D30" s="3">
        <v>662.0</v>
      </c>
      <c r="E30" s="7">
        <f t="shared" si="4"/>
        <v>0.755</v>
      </c>
      <c r="F30" s="6">
        <v>16.67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16</v>
      </c>
      <c r="B31" s="1" t="s">
        <v>14</v>
      </c>
      <c r="C31" s="3">
        <v>65.7</v>
      </c>
      <c r="D31" s="3">
        <v>59.6</v>
      </c>
      <c r="E31" s="7">
        <f t="shared" si="4"/>
        <v>10.235</v>
      </c>
      <c r="F31" s="6">
        <v>31.25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16</v>
      </c>
      <c r="B32" s="1" t="s">
        <v>8</v>
      </c>
      <c r="C32" s="3">
        <v>506.8</v>
      </c>
      <c r="D32" s="3">
        <v>511.0</v>
      </c>
      <c r="E32" s="7">
        <f t="shared" si="4"/>
        <v>0.822</v>
      </c>
      <c r="F32" s="6">
        <v>18.46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3">
    <mergeCell ref="A1:D1"/>
    <mergeCell ref="A8:D8"/>
    <mergeCell ref="A15:D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11</v>
      </c>
    </row>
    <row r="2">
      <c r="B2" s="1" t="s">
        <v>17</v>
      </c>
      <c r="C2" s="1" t="s">
        <v>18</v>
      </c>
      <c r="D2" s="1" t="s">
        <v>19</v>
      </c>
    </row>
    <row r="3">
      <c r="A3" s="1" t="s">
        <v>20</v>
      </c>
      <c r="B3" s="1">
        <v>300.0</v>
      </c>
      <c r="C3" s="1">
        <v>40.0</v>
      </c>
      <c r="D3" s="1">
        <v>1000.0</v>
      </c>
    </row>
    <row r="4">
      <c r="A4" s="1" t="s">
        <v>21</v>
      </c>
      <c r="B4" s="1">
        <v>8200.0</v>
      </c>
      <c r="C4" s="1">
        <v>27000.0</v>
      </c>
      <c r="D4" s="1">
        <v>52000.0</v>
      </c>
    </row>
    <row r="5">
      <c r="A5" s="1" t="s">
        <v>22</v>
      </c>
      <c r="B5" s="1">
        <v>480.0</v>
      </c>
      <c r="C5" s="1">
        <v>420.0</v>
      </c>
      <c r="D5" s="1">
        <v>560.0</v>
      </c>
    </row>
    <row r="6">
      <c r="A6" s="1" t="s">
        <v>23</v>
      </c>
      <c r="B6" s="1">
        <v>1.13</v>
      </c>
      <c r="C6" s="1">
        <v>1.14</v>
      </c>
      <c r="D6" s="1">
        <v>1.85</v>
      </c>
    </row>
    <row r="7">
      <c r="A7" s="1" t="s">
        <v>24</v>
      </c>
      <c r="B7" s="1">
        <v>2.15</v>
      </c>
      <c r="C7" s="1">
        <v>1.82</v>
      </c>
      <c r="D7" s="1">
        <v>1.78</v>
      </c>
    </row>
    <row r="10">
      <c r="A10" s="8" t="s">
        <v>11</v>
      </c>
      <c r="B10" s="8" t="s">
        <v>25</v>
      </c>
      <c r="C10" s="8" t="s">
        <v>26</v>
      </c>
      <c r="D10" s="8" t="s">
        <v>27</v>
      </c>
      <c r="E10" s="8" t="s">
        <v>28</v>
      </c>
    </row>
    <row r="11">
      <c r="A11" s="1" t="s">
        <v>17</v>
      </c>
      <c r="B11" s="8" t="s">
        <v>5</v>
      </c>
      <c r="C11" s="9">
        <v>0.402</v>
      </c>
      <c r="D11" s="1">
        <v>8200.0</v>
      </c>
    </row>
    <row r="12">
      <c r="A12" s="1" t="s">
        <v>17</v>
      </c>
      <c r="B12" s="8" t="s">
        <v>14</v>
      </c>
      <c r="C12" s="8">
        <v>0.169</v>
      </c>
      <c r="D12" s="1">
        <v>8200.0</v>
      </c>
      <c r="E12" s="10">
        <f t="shared" ref="E12:E19" si="1">6/(60*C12*10^6*D12)*100</f>
        <v>0.000000007216048492</v>
      </c>
    </row>
    <row r="13">
      <c r="A13" s="1" t="s">
        <v>17</v>
      </c>
      <c r="B13" s="8" t="s">
        <v>8</v>
      </c>
      <c r="C13" s="8">
        <v>0.013</v>
      </c>
      <c r="D13" s="1">
        <v>8200.0</v>
      </c>
      <c r="E13" s="10">
        <f t="shared" si="1"/>
        <v>0.00000009380863039</v>
      </c>
    </row>
    <row r="14">
      <c r="A14" s="1" t="s">
        <v>18</v>
      </c>
      <c r="B14" s="8" t="s">
        <v>5</v>
      </c>
      <c r="C14" s="9">
        <v>0.402</v>
      </c>
      <c r="D14" s="1">
        <v>27000.0</v>
      </c>
      <c r="E14" s="10">
        <f t="shared" si="1"/>
        <v>0.0000000009213193293</v>
      </c>
    </row>
    <row r="15">
      <c r="A15" s="1" t="s">
        <v>18</v>
      </c>
      <c r="B15" s="8" t="s">
        <v>14</v>
      </c>
      <c r="C15" s="8">
        <v>0.169</v>
      </c>
      <c r="D15" s="1">
        <v>27000.0</v>
      </c>
      <c r="E15" s="10">
        <f t="shared" si="1"/>
        <v>0.000000002191540653</v>
      </c>
    </row>
    <row r="16">
      <c r="A16" s="1" t="s">
        <v>18</v>
      </c>
      <c r="B16" s="8" t="s">
        <v>8</v>
      </c>
      <c r="C16" s="8">
        <v>0.013</v>
      </c>
      <c r="D16" s="1">
        <v>27000.0</v>
      </c>
      <c r="E16" s="10">
        <f t="shared" si="1"/>
        <v>0.00000002849002849</v>
      </c>
    </row>
    <row r="17">
      <c r="A17" s="1" t="s">
        <v>19</v>
      </c>
      <c r="B17" s="8" t="s">
        <v>5</v>
      </c>
      <c r="C17" s="9">
        <v>0.402</v>
      </c>
      <c r="D17" s="1">
        <v>52000.0</v>
      </c>
      <c r="E17" s="10">
        <f t="shared" si="1"/>
        <v>0.000000000478377344</v>
      </c>
    </row>
    <row r="18">
      <c r="A18" s="1" t="s">
        <v>19</v>
      </c>
      <c r="B18" s="8" t="s">
        <v>14</v>
      </c>
      <c r="C18" s="8">
        <v>0.169</v>
      </c>
      <c r="D18" s="1">
        <v>52000.0</v>
      </c>
      <c r="E18" s="10">
        <f t="shared" si="1"/>
        <v>0.000000001137915339</v>
      </c>
    </row>
    <row r="19">
      <c r="A19" s="1" t="s">
        <v>19</v>
      </c>
      <c r="B19" s="8" t="s">
        <v>8</v>
      </c>
      <c r="C19" s="8">
        <v>0.013</v>
      </c>
      <c r="D19" s="1">
        <v>52000.0</v>
      </c>
      <c r="E19" s="10">
        <f t="shared" si="1"/>
        <v>0.00000001479289941</v>
      </c>
    </row>
  </sheetData>
  <mergeCells count="2">
    <mergeCell ref="A1:A2"/>
    <mergeCell ref="B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8" t="s">
        <v>11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12</v>
      </c>
    </row>
    <row r="2">
      <c r="A2" s="8" t="s">
        <v>13</v>
      </c>
      <c r="B2" s="8" t="s">
        <v>5</v>
      </c>
      <c r="C2" s="11">
        <v>611.5</v>
      </c>
      <c r="D2" s="11">
        <v>662.0</v>
      </c>
      <c r="E2" s="10">
        <v>7.628</v>
      </c>
      <c r="F2" s="12">
        <v>13.67</v>
      </c>
    </row>
    <row r="3">
      <c r="A3" s="8" t="s">
        <v>13</v>
      </c>
      <c r="B3" s="8" t="s">
        <v>14</v>
      </c>
      <c r="C3" s="11">
        <v>57.7</v>
      </c>
      <c r="D3" s="11">
        <v>59.6</v>
      </c>
      <c r="E3" s="10">
        <v>3.188</v>
      </c>
      <c r="F3" s="12">
        <v>28.02</v>
      </c>
    </row>
    <row r="4">
      <c r="A4" s="8" t="s">
        <v>13</v>
      </c>
      <c r="B4" s="8" t="s">
        <v>8</v>
      </c>
      <c r="C4" s="11">
        <v>565.9</v>
      </c>
      <c r="D4" s="11">
        <v>511.0</v>
      </c>
      <c r="E4" s="10">
        <v>10.744</v>
      </c>
      <c r="F4" s="12">
        <v>10.2</v>
      </c>
    </row>
    <row r="5">
      <c r="A5" s="8" t="s">
        <v>15</v>
      </c>
      <c r="B5" s="8" t="s">
        <v>5</v>
      </c>
      <c r="C5" s="11">
        <v>659.7</v>
      </c>
      <c r="D5" s="11">
        <v>662.0</v>
      </c>
      <c r="E5" s="10">
        <v>0.347</v>
      </c>
      <c r="F5" s="12">
        <v>12.89</v>
      </c>
    </row>
    <row r="6">
      <c r="A6" s="8" t="s">
        <v>15</v>
      </c>
      <c r="B6" s="8" t="s">
        <v>14</v>
      </c>
      <c r="C6" s="11">
        <v>61.1</v>
      </c>
      <c r="D6" s="11">
        <v>59.6</v>
      </c>
      <c r="E6" s="10">
        <v>2.517</v>
      </c>
      <c r="F6" s="12">
        <v>58.23</v>
      </c>
    </row>
    <row r="7">
      <c r="A7" s="8" t="s">
        <v>15</v>
      </c>
      <c r="B7" s="8" t="s">
        <v>8</v>
      </c>
      <c r="C7" s="11">
        <v>519.7</v>
      </c>
      <c r="D7" s="11">
        <v>511.0</v>
      </c>
      <c r="E7" s="10">
        <v>1.703</v>
      </c>
      <c r="F7" s="12">
        <v>14.26</v>
      </c>
    </row>
    <row r="8">
      <c r="A8" s="8" t="s">
        <v>16</v>
      </c>
      <c r="B8" s="8" t="s">
        <v>5</v>
      </c>
      <c r="C8" s="11">
        <v>657.0</v>
      </c>
      <c r="D8" s="11">
        <v>662.0</v>
      </c>
      <c r="E8" s="13">
        <v>0.755</v>
      </c>
      <c r="F8" s="12">
        <v>16.67</v>
      </c>
    </row>
    <row r="9">
      <c r="A9" s="8" t="s">
        <v>16</v>
      </c>
      <c r="B9" s="8" t="s">
        <v>14</v>
      </c>
      <c r="C9" s="11">
        <v>65.7</v>
      </c>
      <c r="D9" s="11">
        <v>59.6</v>
      </c>
      <c r="E9" s="13">
        <v>10.235</v>
      </c>
      <c r="F9" s="12">
        <v>31.25</v>
      </c>
    </row>
    <row r="10">
      <c r="A10" s="8" t="s">
        <v>16</v>
      </c>
      <c r="B10" s="8" t="s">
        <v>8</v>
      </c>
      <c r="C10" s="11">
        <v>506.8</v>
      </c>
      <c r="D10" s="11">
        <v>511.0</v>
      </c>
      <c r="E10" s="13">
        <v>0.822</v>
      </c>
      <c r="F10" s="12">
        <v>18.46</v>
      </c>
    </row>
    <row r="11">
      <c r="B11" s="1"/>
      <c r="C11" s="1"/>
      <c r="D11" s="1"/>
    </row>
    <row r="12">
      <c r="B12" s="1" t="s">
        <v>11</v>
      </c>
    </row>
    <row r="13">
      <c r="B13" s="1" t="s">
        <v>17</v>
      </c>
      <c r="C13" s="1" t="s">
        <v>18</v>
      </c>
      <c r="D13" s="1" t="s">
        <v>19</v>
      </c>
    </row>
    <row r="14">
      <c r="A14" s="1" t="s">
        <v>20</v>
      </c>
      <c r="B14" s="1">
        <v>300.0</v>
      </c>
      <c r="C14" s="1">
        <v>40.0</v>
      </c>
      <c r="D14" s="1">
        <v>1000.0</v>
      </c>
    </row>
    <row r="15">
      <c r="A15" s="1" t="s">
        <v>21</v>
      </c>
      <c r="B15" s="1">
        <v>8200.0</v>
      </c>
      <c r="C15" s="1">
        <v>27000.0</v>
      </c>
      <c r="D15" s="1">
        <v>52000.0</v>
      </c>
    </row>
    <row r="16">
      <c r="A16" s="1" t="s">
        <v>22</v>
      </c>
      <c r="B16" s="1">
        <v>480.0</v>
      </c>
      <c r="C16" s="1">
        <v>420.0</v>
      </c>
      <c r="D16" s="1">
        <v>560.0</v>
      </c>
    </row>
    <row r="17">
      <c r="A17" s="1" t="s">
        <v>23</v>
      </c>
      <c r="B17" s="1">
        <v>1.13</v>
      </c>
      <c r="C17" s="1">
        <v>1.14</v>
      </c>
      <c r="D17" s="1">
        <v>1.85</v>
      </c>
    </row>
    <row r="18">
      <c r="A18" s="1" t="s">
        <v>24</v>
      </c>
      <c r="B18" s="1">
        <v>2.15</v>
      </c>
      <c r="C18" s="1">
        <v>1.82</v>
      </c>
      <c r="D18" s="1">
        <v>1.78</v>
      </c>
    </row>
  </sheetData>
  <mergeCells count="2">
    <mergeCell ref="A12:A13"/>
    <mergeCell ref="B12:D12"/>
  </mergeCells>
  <drawing r:id="rId1"/>
</worksheet>
</file>